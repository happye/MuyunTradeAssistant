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<sst xmlns="http://schemas.openxmlformats.org/spreadsheetml/2006/main" count="32" uniqueCount="29">
  <si>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HND</t>
  </si>
  <si>
    <t>THS</t>
  </si>
  <si>
    <t>猜一下是哪个标的</t>
  </si>
  <si>
    <t>zgzm</t>
  </si>
  <si>
    <t>打分维度</t>
  </si>
  <si>
    <t>各项打分维度注释</t>
  </si>
  <si>
    <t>价值占比</t>
  </si>
  <si>
    <t>案例A(各项满分100分)</t>
  </si>
  <si>
    <t>各项实际贡献分</t>
  </si>
  <si>
    <t>案例B(各项满分100分)</t>
  </si>
  <si>
    <t>案例C(各项满分100分)</t>
  </si>
  <si>
    <t>案例D(各项满分100分)</t>
  </si>
  <si>
    <t>行业景气度</t>
  </si>
  <si>
    <t>这一项更多是指二级市场的景气程度，而不是实际行业市场的景气程度，例如新能源这几年发展依旧非常迅猛，市场容量、就业都在持续高扩张，但是并不代表二级市场就一定保持高景气(警惕二级市场的超前定价风险)。目前最高景气的行业：1、AI衍生出去的软硬件行业；2、以及正在持续突破的自主可控的芯片半导体和计算机软硬件；3、因为现象级事件的发生，使得某个细分领域出现订单爆单机会，这类突发事件使得景气度瞬间反转；</t>
  </si>
  <si>
    <t>业务纯度</t>
  </si>
  <si>
    <t>看上的业务占该企业的总营收/利润的占比，营收和利润可以设置为55开，都很重要；另外涉及到看中的是海外业务，那还需要额外单独计算，50%以上可以打8折，接近100%即为满分，这里为什么不是直接按照出口比例计算分数，因为看中的是他海外的布局成熟度，如果已经有50%业务都由海外收入，那在海外可以说布局已经非常的成熟，已经没有渠道、海外本地化落地之类的问题；</t>
  </si>
  <si>
    <t>历史估值位置</t>
  </si>
  <si>
    <t>这一条可以综合的去计算，比如当前股价相比最近3年内最低股价的涨幅&lt;20%以内，那可以认为是便宜的阶段，可得满分，往上涨1%扣1分。注意这里没必要去看PE、PB,因为往往真正的大机会很有可能是亏损的阶段，你看pe人会傻掉的。企业不是单纯的看pe定估值，每个企业对行业和社会都有内在的价值，所以当我们发现高景气机会即将到来的时候，可以接受他非常夸张的PE/PB</t>
  </si>
  <si>
    <t>细分行业龙头</t>
  </si>
  <si>
    <t>你看中的细分业务，该标的是行业全球龙头、国内龙头，或者A股上市龙头</t>
  </si>
  <si>
    <t>市场辨识度</t>
  </si>
  <si>
    <t>该细分领域人气最高，因为历史上一些营销事件导致，又或者股票名字非常有辨识度都算，还有一类是二级市场里纯正的标的非常稀缺，有且仅有它这一家，那辨识度会爆表；</t>
  </si>
  <si>
    <t>个股风险值</t>
  </si>
  <si>
    <t>个股基本面是最复杂的，例如短期有无定增、巨额解禁、大股东减持、安全事件、黑天鹅事件、管理层经营水平(如果是出现几年以上的黑天鹅事件，但还未落地，这类已经体现到股价，属于风险释放影响不大)。备注：该项为扣分项，上不封顶，可以每一项定位20分，最好为0分。但有一票否决权</t>
  </si>
  <si>
    <t>市场流动性</t>
  </si>
  <si>
    <t>最后一项最为重要，详细介绍说明可以去看我10月27日那期市场流动性视频。简单来说当前5200只标的没有大幅度变动的背景下，成交额按照1万亿为基准，如果成交额持续保持在0.8万亿及以下水平，以上计算总分×80%,如果成交额来到1.5万亿及以上，以上计算总分×120%</t>
  </si>
  <si>
    <t>1.2/0.8</t>
  </si>
  <si>
    <t>总得分</t>
  </si>
  <si>
    <t>大前提：以上选股打分是我们基于第一期选股逻辑视频的内容，已经发现了新的细分行业机会，例如出现了现象级拐点事件，又或者是判断某个行业马上迎来超景气发展，这样的背景下，我们对选出来的个股进行详细打分，最终得出总分高的优质标的；股价位置其实和流动性也对应，属于此消彼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</si>
</sst>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@"/>
  </numFmts>
  <fonts count="25">
    <font>
      <sz val="11"/>
      <color rgb="FF000000"/>
      <name val="Arial"/>
      <charset val="204"/>
    </font>
    <font>
      <sz val="10"/>
      <color rgb="FF000000"/>
      <name val="微软雅黑"/>
      <charset val="20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9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 wrapText="1"/>
    </xf>
    <xf numFmtId="0" fontId="2" fillId="0" borderId="6" xfId="0" applyNumberFormat="1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left" vertical="top" wrapText="1"/>
    </xf>
    <xf numFmtId="177" fontId="4" fillId="0" borderId="0" xfId="0" applyNumberFormat="1" applyFont="1" applyFill="1" applyBorder="1" applyAlignment="1">
      <alignment horizontal="left" vertical="top" wrapText="1" indent="5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F11" sqref="F11"/>
    </sheetView>
  </sheetViews>
  <sheetFormatPr defaultColWidth="9" defaultRowHeight="13.8"/>
  <cols>
    <col min="1" max="1" width="13.125" customWidth="1"/>
    <col min="2" max="2" width="73.675" customWidth="1"/>
    <col min="3" max="3" width="8.44166666666667" customWidth="1"/>
    <col min="4" max="4" width="22.8333333333333" customWidth="1"/>
    <col min="5" max="5" width="14.3833333333333" customWidth="1"/>
    <col min="6" max="6" width="22.5" customWidth="1"/>
    <col min="7" max="7" width="12.3" customWidth="1"/>
    <col min="8" max="8" width="19.2" customWidth="1"/>
    <col min="9" max="9" width="19.8" customWidth="1"/>
    <col min="10" max="10" width="21.9" customWidth="1"/>
    <col min="11" max="11" width="18.6" customWidth="1"/>
  </cols>
  <sheetData>
    <row r="1" ht="13.5" customHeight="1" spans="1:11">
      <c r="A1" s="1"/>
      <c r="B1" s="1"/>
      <c r="C1" s="1"/>
      <c r="D1" s="2" t="s">
        <v>0</v>
      </c>
      <c r="E1" s="3"/>
      <c r="F1" s="2" t="s">
        <v>1</v>
      </c>
      <c r="G1" s="3"/>
      <c r="H1" s="4" t="s">
        <v>2</v>
      </c>
      <c r="I1" s="4"/>
      <c r="J1" s="4" t="s">
        <v>3</v>
      </c>
      <c r="K1" s="5"/>
    </row>
    <row r="2" ht="13.75" customHeight="1" spans="1:11">
      <c r="A2" s="6" t="s">
        <v>4</v>
      </c>
      <c r="B2" s="6" t="s">
        <v>5</v>
      </c>
      <c r="C2" s="6" t="s">
        <v>6</v>
      </c>
      <c r="D2" s="7" t="s">
        <v>7</v>
      </c>
      <c r="E2" s="8" t="s">
        <v>8</v>
      </c>
      <c r="F2" s="8" t="s">
        <v>9</v>
      </c>
      <c r="G2" s="8" t="s">
        <v>8</v>
      </c>
      <c r="H2" s="9" t="s">
        <v>10</v>
      </c>
      <c r="I2" s="9" t="s">
        <v>8</v>
      </c>
      <c r="J2" s="9" t="s">
        <v>11</v>
      </c>
      <c r="K2" s="9" t="s">
        <v>8</v>
      </c>
    </row>
    <row r="3" ht="100" customHeight="1" spans="1:11">
      <c r="A3" s="6" t="s">
        <v>12</v>
      </c>
      <c r="B3" s="10" t="s">
        <v>13</v>
      </c>
      <c r="C3" s="11">
        <v>0.2</v>
      </c>
      <c r="D3" s="12">
        <v>100</v>
      </c>
      <c r="E3" s="13">
        <f>D3*C3</f>
        <v>20</v>
      </c>
      <c r="F3" s="13">
        <v>100</v>
      </c>
      <c r="G3" s="13">
        <v>20</v>
      </c>
      <c r="H3" s="13">
        <v>100</v>
      </c>
      <c r="I3" s="13">
        <v>20</v>
      </c>
      <c r="J3" s="13">
        <v>0</v>
      </c>
      <c r="K3" s="13">
        <v>0</v>
      </c>
    </row>
    <row r="4" ht="84" customHeight="1" spans="1:11">
      <c r="A4" s="6" t="s">
        <v>14</v>
      </c>
      <c r="B4" s="10" t="s">
        <v>15</v>
      </c>
      <c r="C4" s="11">
        <v>0.4</v>
      </c>
      <c r="D4" s="12">
        <v>80</v>
      </c>
      <c r="E4" s="13">
        <f>D4*C4</f>
        <v>32</v>
      </c>
      <c r="F4" s="13">
        <v>100</v>
      </c>
      <c r="G4" s="13">
        <v>40</v>
      </c>
      <c r="H4" s="13">
        <v>95</v>
      </c>
      <c r="I4" s="13">
        <v>38</v>
      </c>
      <c r="J4" s="13">
        <v>100</v>
      </c>
      <c r="K4" s="13">
        <v>40</v>
      </c>
    </row>
    <row r="5" ht="73" customHeight="1" spans="1:11">
      <c r="A5" s="6" t="s">
        <v>16</v>
      </c>
      <c r="B5" s="10" t="s">
        <v>17</v>
      </c>
      <c r="C5" s="11">
        <v>0.25</v>
      </c>
      <c r="D5" s="12">
        <v>100</v>
      </c>
      <c r="E5" s="13">
        <f>D5*C5</f>
        <v>25</v>
      </c>
      <c r="F5" s="13">
        <v>57</v>
      </c>
      <c r="G5" s="13">
        <v>14.25</v>
      </c>
      <c r="H5" s="13">
        <v>46</v>
      </c>
      <c r="I5" s="13">
        <v>11.5</v>
      </c>
      <c r="J5" s="13">
        <v>100</v>
      </c>
      <c r="K5" s="13">
        <v>25</v>
      </c>
    </row>
    <row r="6" ht="38" customHeight="1" spans="1:11">
      <c r="A6" s="6" t="s">
        <v>18</v>
      </c>
      <c r="B6" s="10" t="s">
        <v>19</v>
      </c>
      <c r="C6" s="11">
        <v>0.15</v>
      </c>
      <c r="D6" s="12">
        <v>100</v>
      </c>
      <c r="E6" s="13">
        <f>D6*C6</f>
        <v>15</v>
      </c>
      <c r="F6" s="13">
        <v>90</v>
      </c>
      <c r="G6" s="13">
        <v>13.5</v>
      </c>
      <c r="H6" s="13">
        <v>0</v>
      </c>
      <c r="I6" s="13">
        <v>0</v>
      </c>
      <c r="J6" s="13">
        <v>100</v>
      </c>
      <c r="K6" s="13">
        <v>15</v>
      </c>
    </row>
    <row r="7" ht="40.5" customHeight="1" spans="1:11">
      <c r="A7" s="6" t="s">
        <v>20</v>
      </c>
      <c r="B7" s="14" t="s">
        <v>21</v>
      </c>
      <c r="C7" s="11">
        <v>0.2</v>
      </c>
      <c r="D7" s="12">
        <v>100</v>
      </c>
      <c r="E7" s="13">
        <f>D7*C7</f>
        <v>20</v>
      </c>
      <c r="F7" s="13">
        <v>90</v>
      </c>
      <c r="G7" s="13">
        <v>18</v>
      </c>
      <c r="H7" s="13">
        <v>50</v>
      </c>
      <c r="I7" s="13">
        <v>10</v>
      </c>
      <c r="J7" s="13">
        <v>100</v>
      </c>
      <c r="K7" s="13">
        <v>20</v>
      </c>
    </row>
    <row r="8" ht="72" customHeight="1" spans="1:11">
      <c r="A8" s="6" t="s">
        <v>22</v>
      </c>
      <c r="B8" s="10" t="s">
        <v>23</v>
      </c>
      <c r="C8" s="11">
        <v>-0.2</v>
      </c>
      <c r="D8" s="12">
        <v>40</v>
      </c>
      <c r="E8" s="13">
        <f>D8*C8</f>
        <v>-8</v>
      </c>
      <c r="F8" s="13">
        <v>0</v>
      </c>
      <c r="G8" s="13">
        <v>0</v>
      </c>
      <c r="H8" s="13">
        <v>20</v>
      </c>
      <c r="I8" s="13">
        <v>-4</v>
      </c>
      <c r="J8" s="13">
        <v>0</v>
      </c>
      <c r="K8" s="13">
        <v>0</v>
      </c>
    </row>
    <row r="9" ht="59" customHeight="1" spans="1:11">
      <c r="A9" s="6" t="s">
        <v>24</v>
      </c>
      <c r="B9" s="10" t="s">
        <v>25</v>
      </c>
      <c r="C9" s="6" t="s">
        <v>26</v>
      </c>
      <c r="D9" s="12">
        <v>0.8</v>
      </c>
      <c r="E9" s="15"/>
      <c r="F9" s="13">
        <v>0.8</v>
      </c>
      <c r="G9" s="16"/>
      <c r="H9" s="13">
        <v>1.1</v>
      </c>
      <c r="I9" s="13"/>
      <c r="J9" s="13">
        <v>1.2</v>
      </c>
      <c r="K9" s="13"/>
    </row>
    <row r="10" ht="14" customHeight="1" spans="1:11">
      <c r="A10" s="17" t="s">
        <v>27</v>
      </c>
      <c r="B10" s="18"/>
      <c r="C10" s="19"/>
      <c r="D10" s="20"/>
      <c r="E10" s="21">
        <f>SUM(E3:E9)*D9</f>
        <v>83.2</v>
      </c>
      <c r="F10" s="22"/>
      <c r="G10" s="21">
        <v>84.6</v>
      </c>
      <c r="H10" s="23"/>
      <c r="I10" s="23">
        <v>90.6</v>
      </c>
      <c r="J10" s="23"/>
      <c r="K10" s="23">
        <v>120</v>
      </c>
    </row>
    <row r="11" ht="42.25" customHeight="1" spans="1:11">
      <c r="A11" s="24"/>
      <c r="B11" s="25" t="s">
        <v>28</v>
      </c>
      <c r="C11" s="26"/>
      <c r="D11" s="27"/>
      <c r="E11" s="27"/>
      <c r="F11" s="27"/>
      <c r="G11" s="27"/>
      <c r="H11" s="1"/>
      <c r="I11" s="1"/>
      <c r="J11" s="1"/>
      <c r="K11" s="1"/>
    </row>
    <row r="12" ht="13.5" customHeight="1" spans="1:11">
      <c r="A12" s="28"/>
    </row>
  </sheetData>
  <mergeCells count="5">
    <mergeCell ref="D1:E1"/>
    <mergeCell ref="F1:G1"/>
    <mergeCell ref="H1:I1"/>
    <mergeCell ref="J1:K1"/>
    <mergeCell ref="A12:C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47270</cp:lastModifiedBy>
  <dcterms:created xsi:type="dcterms:W3CDTF">2026-01-24T19:44:00Z</dcterms:created>
  <dcterms:modified xsi:type="dcterms:W3CDTF">2026-01-24T11:59:34Z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2026-01-24T11:44:53Z</vt:filetime>
  </property>
  <property fmtid="{D5CDD505-2E9C-101B-9397-08002B2CF9AE}" pid="4" name="UsrData">
    <vt:lpwstr>6974b0b4f7474f0001ffdd31wl</vt:lpwstr>
  </property>
  <property fmtid="{D5CDD505-2E9C-101B-9397-08002B2CF9AE}" pid="5" name="ICV">
    <vt:lpwstr>90BD6CF10716495B80CB254F999EB744_13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